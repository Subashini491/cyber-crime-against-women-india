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8400" activeTab="3"/>
  </bookViews>
  <sheets>
    <sheet name="Project" sheetId="2" r:id="rId1"/>
    <sheet name="Raw Data" sheetId="1" r:id="rId2"/>
    <sheet name="Crime Rate Per Lakh" sheetId="8" r:id="rId3"/>
    <sheet name="Rank and Contribution" sheetId="3" r:id="rId4"/>
    <sheet name="Notes" sheetId="6" state="hidden" r:id="rId5"/>
  </sheets>
  <definedNames>
    <definedName name="_xlnm._FilterDatabase" localSheetId="2" hidden="1">'Crime Rate Per Lakh'!$A$1:$D$29</definedName>
    <definedName name="_xlnm._FilterDatabase" localSheetId="3" hidden="1">'Rank and Contribution'!$A$1:$E$29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<sst xmlns="http://schemas.openxmlformats.org/spreadsheetml/2006/main" count="104" uniqueCount="75">
  <si>
    <t>Cyber Crimes Against Women in India — State wise Analysis (2024) </t>
  </si>
  <si>
    <t>SL</t>
  </si>
  <si>
    <t>State/UT</t>
  </si>
  <si>
    <t>Cyber Blackmailing</t>
  </si>
  <si>
    <t>Cyber Pornography</t>
  </si>
  <si>
    <t>Cyber Stalking</t>
  </si>
  <si>
    <t>Sexual Intercourse by Deceitful Means</t>
  </si>
  <si>
    <t>Defamation/Morphing</t>
  </si>
  <si>
    <t>Fake Profile</t>
  </si>
  <si>
    <t>Other Crimes against Women</t>
  </si>
  <si>
    <t>Total Cyber Crimes against Women</t>
  </si>
  <si>
    <t>Andhra Pradesh</t>
  </si>
  <si>
    <t>Arunachal Pradesh</t>
  </si>
  <si>
    <t>Assam</t>
  </si>
  <si>
    <t>Bihar</t>
  </si>
  <si>
    <t>Chhattisgarh</t>
  </si>
  <si>
    <t>Goa</t>
  </si>
  <si>
    <t>Gujarat</t>
  </si>
  <si>
    <t>Haryana</t>
  </si>
  <si>
    <t>Himachal Pradesh</t>
  </si>
  <si>
    <t>Jharkhand</t>
  </si>
  <si>
    <t>Karnataka</t>
  </si>
  <si>
    <t>Kerala</t>
  </si>
  <si>
    <t>Madhya Pradesh</t>
  </si>
  <si>
    <t>Maharashtra</t>
  </si>
  <si>
    <t>Manipur</t>
  </si>
  <si>
    <t>Meghalaya</t>
  </si>
  <si>
    <t>Mizoram</t>
  </si>
  <si>
    <t>Nagaland</t>
  </si>
  <si>
    <t>Odisha</t>
  </si>
  <si>
    <t>Punjab</t>
  </si>
  <si>
    <t>Rajasthan</t>
  </si>
  <si>
    <t>Sikkim</t>
  </si>
  <si>
    <t>Tamil Nadu</t>
  </si>
  <si>
    <t>Telangana</t>
  </si>
  <si>
    <t>Tripura</t>
  </si>
  <si>
    <t>Uttar Pradesh</t>
  </si>
  <si>
    <t>Uttarakhand</t>
  </si>
  <si>
    <t>West Bengal</t>
  </si>
  <si>
    <t>State</t>
  </si>
  <si>
    <t>Female Population (thousands)</t>
  </si>
  <si>
    <t>Total crime</t>
  </si>
  <si>
    <t>Cyber Crime Rate per 1 Lakh Women</t>
  </si>
  <si>
    <t>Cyber Crime Rate Rank per 1 Lakh Women</t>
  </si>
  <si>
    <t>SI</t>
  </si>
  <si>
    <t>Total Crime</t>
  </si>
  <si>
    <t>Rank</t>
  </si>
  <si>
    <t>Contribution</t>
  </si>
  <si>
    <r>
      <rPr>
        <sz val="11"/>
        <color theme="1"/>
        <rFont val="Calibri"/>
        <charset val="134"/>
        <scheme val="minor"/>
      </rPr>
      <t xml:space="preserve">You may actually find that </t>
    </r>
    <r>
      <rPr>
        <b/>
        <sz val="11"/>
        <color theme="1"/>
        <rFont val="Calibri"/>
        <charset val="134"/>
        <scheme val="minor"/>
      </rPr>
      <t>higher literacy states have MORE cyber crimes</t>
    </r>
    <r>
      <rPr>
        <sz val="11"/>
        <color theme="1"/>
        <rFont val="Calibri"/>
        <charset val="134"/>
        <scheme val="minor"/>
      </rPr>
      <t xml:space="preserve"> — Karnataka, Maharashtra, Tamil Nadu are both highly literate AND high crime. That's not a mistake — it shows that </t>
    </r>
    <r>
      <rPr>
        <b/>
        <sz val="11"/>
        <color theme="1"/>
        <rFont val="Calibri"/>
        <charset val="134"/>
        <scheme val="minor"/>
      </rPr>
      <t>more digitally connected, educated women are MORE exposed to online crimes.</t>
    </r>
  </si>
  <si>
    <t>The story has 3 chapters:</t>
  </si>
  <si>
    <r>
      <rPr>
        <sz val="11"/>
        <color theme="1"/>
        <rFont val="Calibri"/>
        <charset val="134"/>
        <scheme val="minor"/>
      </rPr>
      <t xml:space="preserve">That finding is actually more interesting and honest than the opposite. It tells a completely different policy story — that </t>
    </r>
    <r>
      <rPr>
        <b/>
        <sz val="11"/>
        <color theme="1"/>
        <rFont val="Calibri"/>
        <charset val="134"/>
        <scheme val="minor"/>
      </rPr>
      <t>digital safety infrastructure, not just literacy, is what matters.</t>
    </r>
  </si>
  <si>
    <r>
      <rPr>
        <b/>
        <sz val="11"/>
        <color theme="1"/>
        <rFont val="Calibri"/>
        <charset val="134"/>
        <scheme val="minor"/>
      </rPr>
      <t>Chapter 1 — The Surface (Page 1)</t>
    </r>
    <r>
      <rPr>
        <sz val="11"/>
        <color theme="1"/>
        <rFont val="Calibri"/>
        <charset val="134"/>
        <scheme val="minor"/>
      </rPr>
      <t xml:space="preserve"> </t>
    </r>
    <r>
      <rPr>
        <i/>
        <sz val="11"/>
        <color theme="1"/>
        <rFont val="Calibri"/>
        <charset val="134"/>
        <scheme val="minor"/>
      </rPr>
      <t>"Here's what the data looks like at first glance"</t>
    </r>
  </si>
  <si>
    <r>
      <rPr>
        <sz val="11"/>
        <color theme="1"/>
        <rFont val="Calibri"/>
        <charset val="134"/>
        <scheme val="minor"/>
      </rPr>
      <t xml:space="preserve">The crimes in your dataset are </t>
    </r>
    <r>
      <rPr>
        <b/>
        <sz val="11"/>
        <color theme="1"/>
        <rFont val="Calibri"/>
        <charset val="134"/>
        <scheme val="minor"/>
      </rPr>
      <t>crimes against women</t>
    </r>
    <r>
      <rPr>
        <sz val="11"/>
        <color theme="1"/>
        <rFont val="Calibri"/>
        <charset val="134"/>
        <scheme val="minor"/>
      </rPr>
      <t xml:space="preserve"> specifically — cyber stalking, morphing, fake profiles, sexual intercourse by deceitful means.</t>
    </r>
  </si>
  <si>
    <t>Which states have most raw cyber crimes</t>
  </si>
  <si>
    <t>What types of crimes are happening</t>
  </si>
  <si>
    <t>So the question you're asking is:</t>
  </si>
  <si>
    <t>Karnataka, Maharashtra, UP dominate</t>
  </si>
  <si>
    <t>"Does a woman's education level relate to her exposure to or reporting of cyber crimes?"</t>
  </si>
  <si>
    <r>
      <rPr>
        <b/>
        <sz val="11"/>
        <color theme="1"/>
        <rFont val="Calibri"/>
        <charset val="134"/>
        <scheme val="minor"/>
      </rPr>
      <t>Chapter 2 — The Truth (Page 2)</t>
    </r>
    <r>
      <rPr>
        <sz val="11"/>
        <color theme="1"/>
        <rFont val="Calibri"/>
        <charset val="134"/>
        <scheme val="minor"/>
      </rPr>
      <t xml:space="preserve"> </t>
    </r>
    <r>
      <rPr>
        <i/>
        <sz val="11"/>
        <color theme="1"/>
        <rFont val="Calibri"/>
        <charset val="134"/>
        <scheme val="minor"/>
      </rPr>
      <t>"But raw numbers are misleading — here's what's really happening"</t>
    </r>
  </si>
  <si>
    <r>
      <rPr>
        <sz val="11"/>
        <color theme="1"/>
        <rFont val="Calibri"/>
        <charset val="134"/>
        <scheme val="minor"/>
      </rPr>
      <t xml:space="preserve">That question only makes sense if you compare it to </t>
    </r>
    <r>
      <rPr>
        <b/>
        <sz val="11"/>
        <color theme="1"/>
        <rFont val="Calibri"/>
        <charset val="134"/>
        <scheme val="minor"/>
      </rPr>
      <t>female literacy</t>
    </r>
    <r>
      <rPr>
        <sz val="11"/>
        <color theme="1"/>
        <rFont val="Calibri"/>
        <charset val="134"/>
        <scheme val="minor"/>
      </rPr>
      <t xml:space="preserve"> — not male.</t>
    </r>
  </si>
  <si>
    <t>When adjusted for population — the ranking completely changes</t>
  </si>
  <si>
    <t>Karnataka is still high but UP drops dramatically</t>
  </si>
  <si>
    <t>Small states like Mizoram, Telangana are more dangerous than they appear</t>
  </si>
  <si>
    <r>
      <rPr>
        <b/>
        <sz val="11"/>
        <color theme="1"/>
        <rFont val="Calibri"/>
        <charset val="134"/>
        <scheme val="minor"/>
      </rPr>
      <t>Chapter 3 — The Question (Page 3)</t>
    </r>
    <r>
      <rPr>
        <sz val="11"/>
        <color theme="1"/>
        <rFont val="Calibri"/>
        <charset val="134"/>
        <scheme val="minor"/>
      </rPr>
      <t xml:space="preserve"> </t>
    </r>
    <r>
      <rPr>
        <i/>
        <sz val="11"/>
        <color theme="1"/>
        <rFont val="Calibri"/>
        <charset val="134"/>
        <scheme val="minor"/>
      </rPr>
      <t>"So what explains it? Is literacy the answer?"</t>
    </r>
  </si>
  <si>
    <t>when you write your finding, frame it carefully:</t>
  </si>
  <si>
    <t>Scatter plot — literacy vs crime rate</t>
  </si>
  <si>
    <t>"States with higher female literacy rates also report higher cyber crimes against women — suggesting that more digitally connected women are more exposed to online crimes, or more aware and willing to report them."</t>
  </si>
  <si>
    <t>Answer — NO clear pattern</t>
  </si>
  <si>
    <t>High literacy states like Kerala also have high crime</t>
  </si>
  <si>
    <r>
      <rPr>
        <sz val="11"/>
        <color theme="1"/>
        <rFont val="Calibri"/>
        <charset val="134"/>
        <scheme val="minor"/>
      </rPr>
      <t xml:space="preserve">That second part — </t>
    </r>
    <r>
      <rPr>
        <b/>
        <sz val="11"/>
        <color theme="1"/>
        <rFont val="Calibri"/>
        <charset val="134"/>
        <scheme val="minor"/>
      </rPr>
      <t>"or more willing to report"</t>
    </r>
    <r>
      <rPr>
        <sz val="11"/>
        <color theme="1"/>
        <rFont val="Calibri"/>
        <charset val="134"/>
        <scheme val="minor"/>
      </rPr>
      <t xml:space="preserve"> — is important. High reporting doesn't always mean high crime. It can mean high awareness. That nuance makes your analysis mature.</t>
    </r>
  </si>
  <si>
    <t>Suggests internet access and reporting culture matter more than literacy</t>
  </si>
  <si>
    <t>There is no 2024 state-wise female literacy data available freely. Here's why:
India's national census has not been conducted since 2011, so there is no official updated state-wise literacy data beyond that year. The most recent national figure comes from the NSSO 2023-24 PLFS report, which gives an overall female literacy rate of 81% for India as a whole — but not broken down by state</t>
  </si>
  <si>
    <t>Female literacy data used in this analysis is based on estimates from the National Statistical Office (NSO) and Periodic Labour Force Survey (PLFS). Exact state-wise figures for 2024 are unavailable as India's national census has not been conducted since 2011. These estimates are the most current available from official sources</t>
  </si>
  <si>
    <t xml:space="preserve">"Female population figures used in this analysis are based on government population projections published by the National Health Mission (NHM), as the national census has not been conducted since 2011."
</t>
  </si>
  <si>
    <t>NCRB data only captures reported crimes. Many cyber crimes against women go unreported due to stigma, lack of awareness, or distrust in the system. The actual number of crimes is likely much higher than what this data shows."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</si>
</sst>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6">
    <font>
      <sz val="11"/>
      <color theme="1"/>
      <name val="Calibri"/>
      <charset val="134"/>
      <scheme val="minor"/>
    </font>
    <font>
      <b/>
      <sz val="11"/>
      <color theme="1"/>
      <name val="Calibri"/>
      <charset val="134"/>
      <scheme val="minor"/>
    </font>
    <font>
      <i/>
      <sz val="11"/>
      <color theme="1"/>
      <name val="Calibri"/>
      <charset val="134"/>
      <scheme val="minor"/>
    </font>
    <font>
      <b/>
      <sz val="11"/>
      <color theme="0"/>
      <name val="Calibri"/>
      <charset val="134"/>
      <scheme val="minor"/>
    </font>
    <font>
      <sz val="10"/>
      <color theme="1"/>
      <name val="Garamond"/>
      <charset val="134"/>
    </font>
    <font>
      <b/>
      <sz val="10"/>
      <color theme="1"/>
      <name val="Garamond"/>
      <charset val="134"/>
    </font>
    <font>
      <sz val="25"/>
      <color rgb="FF000000"/>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4"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5" borderId="5" applyNumberFormat="0" applyAlignment="0" applyProtection="0">
      <alignment vertical="center"/>
    </xf>
    <xf numFmtId="0" fontId="16" fillId="6" borderId="6" applyNumberFormat="0" applyAlignment="0" applyProtection="0">
      <alignment vertical="center"/>
    </xf>
    <xf numFmtId="0" fontId="17" fillId="6" borderId="5" applyNumberFormat="0" applyAlignment="0" applyProtection="0">
      <alignment vertical="center"/>
    </xf>
    <xf numFmtId="0" fontId="18" fillId="7"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25">
    <xf numFmtId="0" fontId="0" fillId="0" borderId="0" xfId="0"/>
    <xf numFmtId="0" fontId="0" fillId="0" borderId="0" xfId="0" applyAlignment="1">
      <alignment wrapText="1"/>
    </xf>
    <xf numFmtId="0" fontId="1" fillId="0" borderId="0" xfId="0" applyFont="1"/>
    <xf numFmtId="0" fontId="0" fillId="0" borderId="0" xfId="0" applyAlignment="1">
      <alignment horizontal="left" indent="1"/>
    </xf>
    <xf numFmtId="0" fontId="0" fillId="0" borderId="0" xfId="0" applyAlignment="1">
      <alignment horizontal="left" vertical="center" wrapText="1"/>
    </xf>
    <xf numFmtId="0" fontId="2" fillId="0" borderId="0" xfId="0" applyFont="1" applyAlignment="1">
      <alignment horizontal="left" vertical="center" wrapText="1"/>
    </xf>
    <xf numFmtId="0" fontId="0" fillId="0" borderId="0" xfId="0" applyAlignment="1">
      <alignment vertical="top" wrapText="1"/>
    </xf>
    <xf numFmtId="0" fontId="0" fillId="0" borderId="0" xfId="0" applyAlignment="1">
      <alignment horizontal="center"/>
    </xf>
    <xf numFmtId="0" fontId="3" fillId="2" borderId="1" xfId="0" applyFont="1" applyFill="1" applyBorder="1" applyAlignment="1">
      <alignment horizontal="center"/>
    </xf>
    <xf numFmtId="0" fontId="0" fillId="0" borderId="1" xfId="0" applyBorder="1" applyAlignment="1">
      <alignment horizontal="center"/>
    </xf>
    <xf numFmtId="0" fontId="0" fillId="0" borderId="1" xfId="0" applyBorder="1"/>
    <xf numFmtId="10" fontId="0" fillId="0" borderId="1" xfId="0" applyNumberFormat="1" applyBorder="1" applyAlignment="1">
      <alignment horizontal="center"/>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3" fillId="2" borderId="0" xfId="0" applyFont="1" applyFill="1" applyAlignment="1">
      <alignment horizontal="center" vertical="center" wrapText="1"/>
    </xf>
    <xf numFmtId="0" fontId="3" fillId="3" borderId="0" xfId="0" applyFont="1" applyFill="1" applyBorder="1" applyAlignment="1">
      <alignment horizontal="center" vertical="center" wrapText="1"/>
    </xf>
    <xf numFmtId="0" fontId="0" fillId="3" borderId="0" xfId="0" applyFill="1" applyBorder="1" applyAlignment="1">
      <alignment horizontal="center" vertical="center" wrapText="1"/>
    </xf>
    <xf numFmtId="0" fontId="0" fillId="0" borderId="1" xfId="0" applyBorder="1" applyAlignment="1">
      <alignment horizontal="center" vertical="center"/>
    </xf>
    <xf numFmtId="2" fontId="0" fillId="0" borderId="1" xfId="0" applyNumberFormat="1" applyBorder="1" applyAlignment="1">
      <alignment horizontal="center" vertical="center"/>
    </xf>
    <xf numFmtId="0" fontId="0" fillId="3" borderId="0" xfId="0" applyFill="1" applyBorder="1"/>
    <xf numFmtId="0" fontId="4" fillId="0" borderId="0" xfId="0" applyFont="1" applyAlignment="1">
      <alignment horizontal="center" vertical="center"/>
    </xf>
    <xf numFmtId="0" fontId="4" fillId="0" borderId="0" xfId="0" applyFont="1" applyAlignment="1">
      <alignment horizontal="center"/>
    </xf>
    <xf numFmtId="0" fontId="5" fillId="0" borderId="0" xfId="0" applyFont="1" applyAlignment="1">
      <alignment horizontal="center" vertical="center" wrapText="1"/>
    </xf>
    <xf numFmtId="0" fontId="4" fillId="0" borderId="0" xfId="0" applyFont="1" applyAlignment="1">
      <alignment horizontal="center" vertical="center" wrapText="1"/>
    </xf>
    <xf numFmtId="0" fontId="6" fillId="0" borderId="1" xfId="0" applyFont="1" applyBorder="1" applyAlignment="1">
      <alignment horizontal="left" vertical="center" inden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E9:S9"/>
  <sheetViews>
    <sheetView showGridLines="0" zoomScale="71" zoomScaleNormal="71" workbookViewId="0">
      <selection activeCell="E16" sqref="E16"/>
    </sheetView>
  </sheetViews>
  <sheetFormatPr defaultColWidth="9" defaultRowHeight="14.4"/>
  <cols>
    <col min="19" max="19" width="9.66666666666667" customWidth="1"/>
  </cols>
  <sheetData>
    <row r="9" ht="57" customHeight="1" spans="5:19">
      <c r="E9" s="24" t="s">
        <v>0</v>
      </c>
      <c r="F9" s="10"/>
      <c r="G9" s="10"/>
      <c r="H9" s="10"/>
      <c r="I9" s="10"/>
      <c r="J9" s="10"/>
      <c r="K9" s="10"/>
      <c r="L9" s="10"/>
      <c r="M9" s="10"/>
      <c r="N9" s="10"/>
      <c r="O9" s="10"/>
      <c r="P9" s="10"/>
      <c r="Q9" s="10"/>
      <c r="R9" s="10"/>
      <c r="S9" s="10"/>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J30"/>
  <sheetViews>
    <sheetView zoomScale="77" zoomScaleNormal="77" workbookViewId="0">
      <selection activeCell="M12" sqref="M12"/>
    </sheetView>
  </sheetViews>
  <sheetFormatPr defaultColWidth="9" defaultRowHeight="13.2"/>
  <cols>
    <col min="1" max="1" width="5.88888888888889" style="21" customWidth="1"/>
    <col min="2" max="2" width="20" style="21" customWidth="1"/>
    <col min="3" max="3" width="23.7777777777778" style="21" customWidth="1"/>
    <col min="4" max="4" width="21.2222222222222" style="21" customWidth="1"/>
    <col min="5" max="5" width="21.4444444444444" style="21" customWidth="1"/>
    <col min="6" max="6" width="19.6666666666667" style="21" customWidth="1"/>
    <col min="7" max="7" width="21.5555555555556" style="21" customWidth="1"/>
    <col min="8" max="8" width="18.1111111111111" style="21" customWidth="1"/>
    <col min="9" max="9" width="21.6666666666667" style="21" customWidth="1"/>
    <col min="10" max="10" width="21.4444444444444" style="21" customWidth="1"/>
    <col min="11" max="16383" width="8.88888888888889" style="21"/>
    <col min="16384" max="16384" width="8.88888888888889"/>
  </cols>
  <sheetData>
    <row r="1" s="20" customFormat="1" ht="55.8" customHeight="1" spans="1:10">
      <c r="A1" s="22" t="s">
        <v>1</v>
      </c>
      <c r="B1" s="22" t="s">
        <v>2</v>
      </c>
      <c r="C1" s="22" t="s">
        <v>3</v>
      </c>
      <c r="D1" s="22" t="s">
        <v>4</v>
      </c>
      <c r="E1" s="22" t="s">
        <v>5</v>
      </c>
      <c r="F1" s="22" t="s">
        <v>6</v>
      </c>
      <c r="G1" s="22" t="s">
        <v>7</v>
      </c>
      <c r="H1" s="22" t="s">
        <v>8</v>
      </c>
      <c r="I1" s="22" t="s">
        <v>9</v>
      </c>
      <c r="J1" s="22" t="s">
        <v>10</v>
      </c>
    </row>
    <row r="2" spans="1:10">
      <c r="A2" s="23">
        <v>1</v>
      </c>
      <c r="B2" s="23" t="s">
        <v>11</v>
      </c>
      <c r="C2" s="23">
        <v>12</v>
      </c>
      <c r="D2" s="23">
        <v>29</v>
      </c>
      <c r="E2" s="23">
        <v>146</v>
      </c>
      <c r="F2" s="23">
        <v>6</v>
      </c>
      <c r="G2" s="23">
        <v>0</v>
      </c>
      <c r="H2" s="23">
        <v>2</v>
      </c>
      <c r="I2" s="23">
        <v>447</v>
      </c>
      <c r="J2" s="21">
        <f t="shared" ref="J2:J29" si="0">SUM(C2:I2)</f>
        <v>642</v>
      </c>
    </row>
    <row r="3" spans="1:10">
      <c r="A3" s="23">
        <v>2</v>
      </c>
      <c r="B3" s="23" t="s">
        <v>12</v>
      </c>
      <c r="C3" s="23">
        <v>0</v>
      </c>
      <c r="D3" s="23">
        <v>5</v>
      </c>
      <c r="E3" s="23">
        <v>0</v>
      </c>
      <c r="F3" s="23">
        <v>0</v>
      </c>
      <c r="G3" s="23">
        <v>0</v>
      </c>
      <c r="H3" s="23">
        <v>0</v>
      </c>
      <c r="I3" s="23">
        <v>20</v>
      </c>
      <c r="J3" s="21">
        <f t="shared" si="0"/>
        <v>25</v>
      </c>
    </row>
    <row r="4" spans="1:10">
      <c r="A4" s="23">
        <v>3</v>
      </c>
      <c r="B4" s="23" t="s">
        <v>13</v>
      </c>
      <c r="C4" s="23">
        <v>0</v>
      </c>
      <c r="D4" s="23">
        <v>81</v>
      </c>
      <c r="E4" s="23">
        <v>0</v>
      </c>
      <c r="F4" s="23">
        <v>0</v>
      </c>
      <c r="G4" s="23">
        <v>0</v>
      </c>
      <c r="H4" s="23">
        <v>0</v>
      </c>
      <c r="I4" s="23">
        <v>115</v>
      </c>
      <c r="J4" s="21">
        <f t="shared" si="0"/>
        <v>196</v>
      </c>
    </row>
    <row r="5" spans="1:10">
      <c r="A5" s="23">
        <v>4</v>
      </c>
      <c r="B5" s="23" t="s">
        <v>14</v>
      </c>
      <c r="C5" s="23">
        <v>40</v>
      </c>
      <c r="D5" s="23">
        <v>12</v>
      </c>
      <c r="E5" s="23">
        <v>73</v>
      </c>
      <c r="F5" s="23">
        <v>0</v>
      </c>
      <c r="G5" s="23">
        <v>0</v>
      </c>
      <c r="H5" s="23">
        <v>70</v>
      </c>
      <c r="I5" s="23">
        <v>669</v>
      </c>
      <c r="J5" s="21">
        <f t="shared" si="0"/>
        <v>864</v>
      </c>
    </row>
    <row r="6" spans="1:10">
      <c r="A6" s="23">
        <v>5</v>
      </c>
      <c r="B6" s="23" t="s">
        <v>15</v>
      </c>
      <c r="C6" s="23">
        <v>1</v>
      </c>
      <c r="D6" s="23">
        <v>290</v>
      </c>
      <c r="E6" s="23">
        <v>4</v>
      </c>
      <c r="F6" s="23">
        <v>0</v>
      </c>
      <c r="G6" s="23">
        <v>1</v>
      </c>
      <c r="H6" s="23">
        <v>1</v>
      </c>
      <c r="I6" s="23">
        <v>63</v>
      </c>
      <c r="J6" s="21">
        <f t="shared" si="0"/>
        <v>360</v>
      </c>
    </row>
    <row r="7" spans="1:10">
      <c r="A7" s="23">
        <v>6</v>
      </c>
      <c r="B7" s="23" t="s">
        <v>16</v>
      </c>
      <c r="C7" s="23">
        <v>0</v>
      </c>
      <c r="D7" s="23">
        <v>6</v>
      </c>
      <c r="E7" s="23">
        <v>0</v>
      </c>
      <c r="F7" s="23">
        <v>0</v>
      </c>
      <c r="G7" s="23">
        <v>0</v>
      </c>
      <c r="H7" s="23">
        <v>0</v>
      </c>
      <c r="I7" s="23">
        <v>17</v>
      </c>
      <c r="J7" s="21">
        <f t="shared" si="0"/>
        <v>23</v>
      </c>
    </row>
    <row r="8" spans="1:10">
      <c r="A8" s="23">
        <v>7</v>
      </c>
      <c r="B8" s="23" t="s">
        <v>17</v>
      </c>
      <c r="C8" s="23">
        <v>13</v>
      </c>
      <c r="D8" s="23">
        <v>61</v>
      </c>
      <c r="E8" s="23">
        <v>26</v>
      </c>
      <c r="F8" s="23">
        <v>4</v>
      </c>
      <c r="G8" s="23">
        <v>0</v>
      </c>
      <c r="H8" s="23">
        <v>0</v>
      </c>
      <c r="I8" s="23">
        <v>270</v>
      </c>
      <c r="J8" s="21">
        <f t="shared" si="0"/>
        <v>374</v>
      </c>
    </row>
    <row r="9" spans="1:10">
      <c r="A9" s="23">
        <v>8</v>
      </c>
      <c r="B9" s="23" t="s">
        <v>18</v>
      </c>
      <c r="C9" s="23">
        <v>5</v>
      </c>
      <c r="D9" s="23">
        <v>92</v>
      </c>
      <c r="E9" s="23">
        <v>17</v>
      </c>
      <c r="F9" s="23">
        <v>0</v>
      </c>
      <c r="G9" s="23">
        <v>2</v>
      </c>
      <c r="H9" s="23">
        <v>0</v>
      </c>
      <c r="I9" s="23">
        <v>284</v>
      </c>
      <c r="J9" s="21">
        <f t="shared" si="0"/>
        <v>400</v>
      </c>
    </row>
    <row r="10" spans="1:10">
      <c r="A10" s="23">
        <v>9</v>
      </c>
      <c r="B10" s="23" t="s">
        <v>19</v>
      </c>
      <c r="C10" s="23">
        <v>0</v>
      </c>
      <c r="D10" s="23">
        <v>16</v>
      </c>
      <c r="E10" s="23">
        <v>0</v>
      </c>
      <c r="F10" s="23">
        <v>0</v>
      </c>
      <c r="G10" s="23">
        <v>0</v>
      </c>
      <c r="H10" s="23">
        <v>0</v>
      </c>
      <c r="I10" s="23">
        <v>14</v>
      </c>
      <c r="J10" s="21">
        <f t="shared" si="0"/>
        <v>30</v>
      </c>
    </row>
    <row r="11" spans="1:10">
      <c r="A11" s="23">
        <v>10</v>
      </c>
      <c r="B11" s="23" t="s">
        <v>20</v>
      </c>
      <c r="C11" s="23">
        <v>0</v>
      </c>
      <c r="D11" s="23">
        <v>11</v>
      </c>
      <c r="E11" s="23">
        <v>5</v>
      </c>
      <c r="F11" s="23">
        <v>0</v>
      </c>
      <c r="G11" s="23">
        <v>0</v>
      </c>
      <c r="H11" s="23">
        <v>0</v>
      </c>
      <c r="I11" s="23">
        <v>0</v>
      </c>
      <c r="J11" s="21">
        <f t="shared" si="0"/>
        <v>16</v>
      </c>
    </row>
    <row r="12" spans="1:10">
      <c r="A12" s="23">
        <v>11</v>
      </c>
      <c r="B12" s="23" t="s">
        <v>21</v>
      </c>
      <c r="C12" s="23">
        <v>0</v>
      </c>
      <c r="D12" s="23">
        <v>133</v>
      </c>
      <c r="E12" s="23">
        <v>0</v>
      </c>
      <c r="F12" s="23">
        <v>0</v>
      </c>
      <c r="G12" s="23">
        <v>2</v>
      </c>
      <c r="H12" s="23">
        <v>0</v>
      </c>
      <c r="I12" s="23">
        <v>6190</v>
      </c>
      <c r="J12" s="21">
        <f t="shared" si="0"/>
        <v>6325</v>
      </c>
    </row>
    <row r="13" spans="1:10">
      <c r="A13" s="23">
        <v>12</v>
      </c>
      <c r="B13" s="23" t="s">
        <v>22</v>
      </c>
      <c r="C13" s="23">
        <v>2</v>
      </c>
      <c r="D13" s="23">
        <v>94</v>
      </c>
      <c r="E13" s="23">
        <v>45</v>
      </c>
      <c r="F13" s="23">
        <v>11</v>
      </c>
      <c r="G13" s="23">
        <v>2</v>
      </c>
      <c r="H13" s="23">
        <v>3</v>
      </c>
      <c r="I13" s="23">
        <v>575</v>
      </c>
      <c r="J13" s="21">
        <f t="shared" si="0"/>
        <v>732</v>
      </c>
    </row>
    <row r="14" spans="1:10">
      <c r="A14" s="23">
        <v>13</v>
      </c>
      <c r="B14" s="23" t="s">
        <v>23</v>
      </c>
      <c r="C14" s="23">
        <v>8</v>
      </c>
      <c r="D14" s="23">
        <v>97</v>
      </c>
      <c r="E14" s="23">
        <v>64</v>
      </c>
      <c r="F14" s="23">
        <v>20</v>
      </c>
      <c r="G14" s="23">
        <v>13</v>
      </c>
      <c r="H14" s="23">
        <v>0</v>
      </c>
      <c r="I14" s="23">
        <v>142</v>
      </c>
      <c r="J14" s="21">
        <f t="shared" si="0"/>
        <v>344</v>
      </c>
    </row>
    <row r="15" spans="1:10">
      <c r="A15" s="23">
        <v>14</v>
      </c>
      <c r="B15" s="23" t="s">
        <v>24</v>
      </c>
      <c r="C15" s="23">
        <v>21</v>
      </c>
      <c r="D15" s="23">
        <v>55</v>
      </c>
      <c r="E15" s="23">
        <v>410</v>
      </c>
      <c r="F15" s="23">
        <v>33</v>
      </c>
      <c r="G15" s="23">
        <v>1</v>
      </c>
      <c r="H15" s="23">
        <v>12</v>
      </c>
      <c r="I15" s="23">
        <v>1964</v>
      </c>
      <c r="J15" s="21">
        <f t="shared" si="0"/>
        <v>2496</v>
      </c>
    </row>
    <row r="16" spans="1:10">
      <c r="A16" s="23">
        <v>15</v>
      </c>
      <c r="B16" s="23" t="s">
        <v>25</v>
      </c>
      <c r="C16" s="23">
        <v>0</v>
      </c>
      <c r="D16" s="23">
        <v>5</v>
      </c>
      <c r="E16" s="23">
        <v>0</v>
      </c>
      <c r="F16" s="23">
        <v>0</v>
      </c>
      <c r="G16" s="23">
        <v>0</v>
      </c>
      <c r="H16" s="23">
        <v>0</v>
      </c>
      <c r="I16" s="23">
        <v>0</v>
      </c>
      <c r="J16" s="21">
        <f t="shared" si="0"/>
        <v>5</v>
      </c>
    </row>
    <row r="17" spans="1:10">
      <c r="A17" s="23">
        <v>16</v>
      </c>
      <c r="B17" s="23" t="s">
        <v>26</v>
      </c>
      <c r="C17" s="23">
        <v>0</v>
      </c>
      <c r="D17" s="23">
        <v>19</v>
      </c>
      <c r="E17" s="23">
        <v>0</v>
      </c>
      <c r="F17" s="23">
        <v>0</v>
      </c>
      <c r="G17" s="23">
        <v>0</v>
      </c>
      <c r="H17" s="23">
        <v>0</v>
      </c>
      <c r="I17" s="23">
        <v>16</v>
      </c>
      <c r="J17" s="21">
        <f t="shared" si="0"/>
        <v>35</v>
      </c>
    </row>
    <row r="18" spans="1:10">
      <c r="A18" s="23">
        <v>17</v>
      </c>
      <c r="B18" s="23" t="s">
        <v>27</v>
      </c>
      <c r="C18" s="23">
        <v>0</v>
      </c>
      <c r="D18" s="23">
        <v>18</v>
      </c>
      <c r="E18" s="23">
        <v>0</v>
      </c>
      <c r="F18" s="23">
        <v>0</v>
      </c>
      <c r="G18" s="23">
        <v>0</v>
      </c>
      <c r="H18" s="23">
        <v>0</v>
      </c>
      <c r="I18" s="23">
        <v>15</v>
      </c>
      <c r="J18" s="21">
        <f t="shared" si="0"/>
        <v>33</v>
      </c>
    </row>
    <row r="19" spans="1:10">
      <c r="A19" s="23">
        <v>18</v>
      </c>
      <c r="B19" s="23" t="s">
        <v>28</v>
      </c>
      <c r="C19" s="23">
        <v>0</v>
      </c>
      <c r="D19" s="23">
        <v>2</v>
      </c>
      <c r="E19" s="23">
        <v>0</v>
      </c>
      <c r="F19" s="23">
        <v>0</v>
      </c>
      <c r="G19" s="23">
        <v>0</v>
      </c>
      <c r="H19" s="23">
        <v>0</v>
      </c>
      <c r="I19" s="23">
        <v>0</v>
      </c>
      <c r="J19" s="21">
        <f t="shared" si="0"/>
        <v>2</v>
      </c>
    </row>
    <row r="20" spans="1:10">
      <c r="A20" s="23">
        <v>19</v>
      </c>
      <c r="B20" s="23" t="s">
        <v>29</v>
      </c>
      <c r="C20" s="23">
        <v>0</v>
      </c>
      <c r="D20" s="23">
        <v>452</v>
      </c>
      <c r="E20" s="23">
        <v>0</v>
      </c>
      <c r="F20" s="23">
        <v>0</v>
      </c>
      <c r="G20" s="23">
        <v>267</v>
      </c>
      <c r="H20" s="23">
        <v>0</v>
      </c>
      <c r="I20" s="23">
        <v>0</v>
      </c>
      <c r="J20" s="21">
        <f t="shared" si="0"/>
        <v>719</v>
      </c>
    </row>
    <row r="21" spans="1:10">
      <c r="A21" s="23">
        <v>20</v>
      </c>
      <c r="B21" s="23" t="s">
        <v>30</v>
      </c>
      <c r="C21" s="23">
        <v>8</v>
      </c>
      <c r="D21" s="23">
        <v>25</v>
      </c>
      <c r="E21" s="23">
        <v>9</v>
      </c>
      <c r="F21" s="23">
        <v>2</v>
      </c>
      <c r="G21" s="23">
        <v>0</v>
      </c>
      <c r="H21" s="23">
        <v>1</v>
      </c>
      <c r="I21" s="23">
        <v>137</v>
      </c>
      <c r="J21" s="21">
        <f t="shared" si="0"/>
        <v>182</v>
      </c>
    </row>
    <row r="22" spans="1:10">
      <c r="A22" s="23">
        <v>21</v>
      </c>
      <c r="B22" s="23" t="s">
        <v>31</v>
      </c>
      <c r="C22" s="23">
        <v>9</v>
      </c>
      <c r="D22" s="23">
        <v>138</v>
      </c>
      <c r="E22" s="23">
        <v>47</v>
      </c>
      <c r="F22" s="23">
        <v>19</v>
      </c>
      <c r="G22" s="23">
        <v>0</v>
      </c>
      <c r="H22" s="23">
        <v>0</v>
      </c>
      <c r="I22" s="23">
        <v>185</v>
      </c>
      <c r="J22" s="21">
        <f t="shared" si="0"/>
        <v>398</v>
      </c>
    </row>
    <row r="23" spans="1:10">
      <c r="A23" s="23">
        <v>22</v>
      </c>
      <c r="B23" s="23" t="s">
        <v>32</v>
      </c>
      <c r="C23" s="23">
        <v>0</v>
      </c>
      <c r="D23" s="23">
        <v>3</v>
      </c>
      <c r="E23" s="23">
        <v>0</v>
      </c>
      <c r="F23" s="23">
        <v>0</v>
      </c>
      <c r="G23" s="23">
        <v>0</v>
      </c>
      <c r="H23" s="23">
        <v>0</v>
      </c>
      <c r="I23" s="23">
        <v>0</v>
      </c>
      <c r="J23" s="21">
        <f t="shared" si="0"/>
        <v>3</v>
      </c>
    </row>
    <row r="24" spans="1:10">
      <c r="A24" s="23">
        <v>23</v>
      </c>
      <c r="B24" s="23" t="s">
        <v>33</v>
      </c>
      <c r="C24" s="23">
        <v>17</v>
      </c>
      <c r="D24" s="23">
        <v>65</v>
      </c>
      <c r="E24" s="23">
        <v>34</v>
      </c>
      <c r="F24" s="23">
        <v>1</v>
      </c>
      <c r="G24" s="23">
        <v>5</v>
      </c>
      <c r="H24" s="23">
        <v>9</v>
      </c>
      <c r="I24" s="23">
        <v>1143</v>
      </c>
      <c r="J24" s="21">
        <f t="shared" si="0"/>
        <v>1274</v>
      </c>
    </row>
    <row r="25" spans="1:10">
      <c r="A25" s="23">
        <v>24</v>
      </c>
      <c r="B25" s="23" t="s">
        <v>34</v>
      </c>
      <c r="C25" s="23">
        <v>214</v>
      </c>
      <c r="D25" s="23">
        <v>20</v>
      </c>
      <c r="E25" s="23">
        <v>296</v>
      </c>
      <c r="F25" s="23">
        <v>1</v>
      </c>
      <c r="G25" s="23">
        <v>1</v>
      </c>
      <c r="H25" s="23">
        <v>16</v>
      </c>
      <c r="I25" s="23">
        <v>677</v>
      </c>
      <c r="J25" s="21">
        <f t="shared" si="0"/>
        <v>1225</v>
      </c>
    </row>
    <row r="26" spans="1:10">
      <c r="A26" s="23">
        <v>25</v>
      </c>
      <c r="B26" s="23" t="s">
        <v>35</v>
      </c>
      <c r="C26" s="23">
        <v>0</v>
      </c>
      <c r="D26" s="23">
        <v>7</v>
      </c>
      <c r="E26" s="23">
        <v>0</v>
      </c>
      <c r="F26" s="23">
        <v>0</v>
      </c>
      <c r="G26" s="23">
        <v>0</v>
      </c>
      <c r="H26" s="23">
        <v>0</v>
      </c>
      <c r="I26" s="23">
        <v>3</v>
      </c>
      <c r="J26" s="21">
        <f t="shared" si="0"/>
        <v>10</v>
      </c>
    </row>
    <row r="27" spans="1:10">
      <c r="A27" s="23">
        <v>26</v>
      </c>
      <c r="B27" s="23" t="s">
        <v>36</v>
      </c>
      <c r="C27" s="23">
        <v>10</v>
      </c>
      <c r="D27" s="23">
        <v>562</v>
      </c>
      <c r="E27" s="23">
        <v>25</v>
      </c>
      <c r="F27" s="23">
        <v>2</v>
      </c>
      <c r="G27" s="23">
        <v>0</v>
      </c>
      <c r="H27" s="23">
        <v>0</v>
      </c>
      <c r="I27" s="23">
        <v>793</v>
      </c>
      <c r="J27" s="21">
        <f t="shared" si="0"/>
        <v>1392</v>
      </c>
    </row>
    <row r="28" spans="1:10">
      <c r="A28" s="23">
        <v>27</v>
      </c>
      <c r="B28" s="23" t="s">
        <v>37</v>
      </c>
      <c r="C28" s="23">
        <v>1</v>
      </c>
      <c r="D28" s="23">
        <v>2</v>
      </c>
      <c r="E28" s="23">
        <v>0</v>
      </c>
      <c r="F28" s="23">
        <v>0</v>
      </c>
      <c r="G28" s="23">
        <v>0</v>
      </c>
      <c r="H28" s="23">
        <v>0</v>
      </c>
      <c r="I28" s="23">
        <v>54</v>
      </c>
      <c r="J28" s="21">
        <f t="shared" si="0"/>
        <v>57</v>
      </c>
    </row>
    <row r="29" spans="1:10">
      <c r="A29" s="23">
        <v>28</v>
      </c>
      <c r="B29" s="23" t="s">
        <v>38</v>
      </c>
      <c r="C29" s="23">
        <v>3</v>
      </c>
      <c r="D29" s="23">
        <v>82</v>
      </c>
      <c r="E29" s="23">
        <v>10</v>
      </c>
      <c r="F29" s="23">
        <v>0</v>
      </c>
      <c r="G29" s="23">
        <v>0</v>
      </c>
      <c r="H29" s="23">
        <v>0</v>
      </c>
      <c r="I29" s="23">
        <v>52</v>
      </c>
      <c r="J29" s="21">
        <f t="shared" si="0"/>
        <v>147</v>
      </c>
    </row>
    <row r="30" spans="1:10">
      <c r="A30" s="23"/>
      <c r="B30" s="22"/>
      <c r="C30" s="22"/>
      <c r="D30" s="22"/>
      <c r="E30" s="22"/>
      <c r="F30" s="22"/>
      <c r="G30" s="22"/>
      <c r="H30" s="22"/>
      <c r="I30" s="22"/>
      <c r="J30" s="22"/>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I30"/>
  <sheetViews>
    <sheetView zoomScale="80" zoomScaleNormal="80" workbookViewId="0">
      <selection activeCell="H16" sqref="H16"/>
    </sheetView>
  </sheetViews>
  <sheetFormatPr defaultColWidth="9" defaultRowHeight="14.4"/>
  <cols>
    <col min="1" max="4" width="19.8888888888889" customWidth="1"/>
    <col min="5" max="5" width="17.0833333333333" customWidth="1"/>
    <col min="8" max="8" width="17.9166666666667" customWidth="1"/>
    <col min="9" max="9" width="16.9444444444444" customWidth="1"/>
  </cols>
  <sheetData>
    <row r="1" s="12" customFormat="1" ht="65" customHeight="1" spans="1:9">
      <c r="A1" s="13" t="s">
        <v>39</v>
      </c>
      <c r="B1" s="13" t="s">
        <v>40</v>
      </c>
      <c r="C1" s="13" t="s">
        <v>41</v>
      </c>
      <c r="D1" s="13" t="s">
        <v>42</v>
      </c>
      <c r="E1" s="14" t="s">
        <v>43</v>
      </c>
      <c r="H1" s="15"/>
      <c r="I1" s="16"/>
    </row>
    <row r="2" spans="1:9">
      <c r="A2" s="10" t="s">
        <v>21</v>
      </c>
      <c r="B2" s="17">
        <v>33558</v>
      </c>
      <c r="C2" s="17">
        <f>_xlfn.XLOOKUP(A2,'Raw Data'!$B$2:$B$29,'Raw Data'!$J$2:$J$29)</f>
        <v>6325</v>
      </c>
      <c r="D2" s="18">
        <f>(C2/(B2*1000))*100000</f>
        <v>18.847964717802</v>
      </c>
      <c r="E2">
        <f>RANK(D2,D$2:D$29,0)</f>
        <v>1</v>
      </c>
      <c r="H2" s="19"/>
      <c r="I2" s="19"/>
    </row>
    <row r="3" spans="1:9">
      <c r="A3" s="10" t="s">
        <v>34</v>
      </c>
      <c r="B3" s="17">
        <v>19030</v>
      </c>
      <c r="C3" s="17">
        <f>_xlfn.XLOOKUP(A3,'Raw Data'!$B$2:$B$29,'Raw Data'!$J$2:$J$29)</f>
        <v>1225</v>
      </c>
      <c r="D3" s="18">
        <f t="shared" ref="D2:D29" si="0">(C3/(B3*1000))*100000</f>
        <v>6.43720441408303</v>
      </c>
      <c r="E3">
        <f t="shared" ref="E3:E29" si="1">RANK(D3,D$2:D$29,0)</f>
        <v>2</v>
      </c>
      <c r="H3" s="19"/>
      <c r="I3" s="19"/>
    </row>
    <row r="4" spans="1:9">
      <c r="A4" s="10" t="s">
        <v>27</v>
      </c>
      <c r="B4" s="17">
        <v>620</v>
      </c>
      <c r="C4" s="17">
        <f>_xlfn.XLOOKUP(A4,'Raw Data'!$B$2:$B$29,'Raw Data'!$J$2:$J$29)</f>
        <v>33</v>
      </c>
      <c r="D4" s="18">
        <f t="shared" si="0"/>
        <v>5.32258064516129</v>
      </c>
      <c r="E4">
        <f t="shared" si="1"/>
        <v>3</v>
      </c>
      <c r="H4" s="19"/>
      <c r="I4" s="19"/>
    </row>
    <row r="5" spans="1:9">
      <c r="A5" s="10" t="s">
        <v>24</v>
      </c>
      <c r="B5" s="17">
        <v>61103</v>
      </c>
      <c r="C5" s="17">
        <f>_xlfn.XLOOKUP(A5,'Raw Data'!$B$2:$B$29,'Raw Data'!$J$2:$J$29)</f>
        <v>2496</v>
      </c>
      <c r="D5" s="18">
        <f t="shared" si="0"/>
        <v>4.08490581477178</v>
      </c>
      <c r="E5">
        <f t="shared" si="1"/>
        <v>4</v>
      </c>
      <c r="H5" s="19"/>
      <c r="I5" s="19"/>
    </row>
    <row r="6" spans="1:9">
      <c r="A6" s="10" t="s">
        <v>22</v>
      </c>
      <c r="B6" s="17">
        <v>18666</v>
      </c>
      <c r="C6" s="17">
        <f>_xlfn.XLOOKUP(A6,'Raw Data'!$B$2:$B$29,'Raw Data'!$J$2:$J$29)</f>
        <v>732</v>
      </c>
      <c r="D6" s="18">
        <f t="shared" si="0"/>
        <v>3.92156862745098</v>
      </c>
      <c r="E6">
        <f t="shared" si="1"/>
        <v>5</v>
      </c>
      <c r="H6" s="19"/>
      <c r="I6" s="19"/>
    </row>
    <row r="7" spans="1:9">
      <c r="A7" s="10" t="s">
        <v>33</v>
      </c>
      <c r="B7" s="17">
        <v>38630</v>
      </c>
      <c r="C7" s="17">
        <f>_xlfn.XLOOKUP(A7,'Raw Data'!$B$2:$B$29,'Raw Data'!$J$2:$J$29)</f>
        <v>1274</v>
      </c>
      <c r="D7" s="18">
        <f t="shared" si="0"/>
        <v>3.29795495728708</v>
      </c>
      <c r="E7">
        <f t="shared" si="1"/>
        <v>6</v>
      </c>
      <c r="H7" s="19"/>
      <c r="I7" s="19"/>
    </row>
    <row r="8" spans="1:9">
      <c r="A8" s="10" t="s">
        <v>12</v>
      </c>
      <c r="B8" s="17">
        <v>766</v>
      </c>
      <c r="C8" s="17">
        <f>_xlfn.XLOOKUP(A8,'Raw Data'!$B$2:$B$29,'Raw Data'!$J$2:$J$29)</f>
        <v>25</v>
      </c>
      <c r="D8" s="18">
        <f t="shared" si="0"/>
        <v>3.26370757180157</v>
      </c>
      <c r="E8">
        <f t="shared" si="1"/>
        <v>7</v>
      </c>
      <c r="H8" s="19"/>
      <c r="I8" s="19"/>
    </row>
    <row r="9" spans="1:9">
      <c r="A9" s="10" t="s">
        <v>29</v>
      </c>
      <c r="B9" s="17">
        <v>23150</v>
      </c>
      <c r="C9" s="17">
        <f>_xlfn.XLOOKUP(A9,'Raw Data'!$B$2:$B$29,'Raw Data'!$J$2:$J$29)</f>
        <v>719</v>
      </c>
      <c r="D9" s="18">
        <f t="shared" si="0"/>
        <v>3.10583153347732</v>
      </c>
      <c r="E9">
        <f t="shared" si="1"/>
        <v>8</v>
      </c>
      <c r="H9" s="19"/>
      <c r="I9" s="19"/>
    </row>
    <row r="10" spans="1:9">
      <c r="A10" s="10" t="s">
        <v>16</v>
      </c>
      <c r="B10" s="17">
        <v>786</v>
      </c>
      <c r="C10" s="17">
        <f>_xlfn.XLOOKUP(A10,'Raw Data'!$B$2:$B$29,'Raw Data'!$J$2:$J$29)</f>
        <v>23</v>
      </c>
      <c r="D10" s="18">
        <f t="shared" si="0"/>
        <v>2.92620865139949</v>
      </c>
      <c r="E10">
        <f t="shared" si="1"/>
        <v>9</v>
      </c>
      <c r="H10" s="19"/>
      <c r="I10" s="19"/>
    </row>
    <row r="11" spans="1:9">
      <c r="A11" s="10" t="s">
        <v>18</v>
      </c>
      <c r="B11" s="17">
        <v>14406</v>
      </c>
      <c r="C11" s="17">
        <f>_xlfn.XLOOKUP(A11,'Raw Data'!$B$2:$B$29,'Raw Data'!$J$2:$J$29)</f>
        <v>400</v>
      </c>
      <c r="D11" s="18">
        <f t="shared" si="0"/>
        <v>2.7766208524226</v>
      </c>
      <c r="E11">
        <f t="shared" si="1"/>
        <v>10</v>
      </c>
      <c r="H11" s="19"/>
      <c r="I11" s="19"/>
    </row>
    <row r="12" spans="1:9">
      <c r="A12" s="10" t="s">
        <v>11</v>
      </c>
      <c r="B12" s="17">
        <v>26678</v>
      </c>
      <c r="C12" s="17">
        <f>_xlfn.XLOOKUP(A12,'Raw Data'!$B$2:$B$29,'Raw Data'!$J$2:$J$29)</f>
        <v>642</v>
      </c>
      <c r="D12" s="18">
        <f t="shared" si="0"/>
        <v>2.40647724716995</v>
      </c>
      <c r="E12">
        <f t="shared" si="1"/>
        <v>11</v>
      </c>
      <c r="H12" s="19"/>
      <c r="I12" s="19"/>
    </row>
    <row r="13" spans="1:9">
      <c r="A13" s="10" t="s">
        <v>15</v>
      </c>
      <c r="B13" s="17">
        <v>15215</v>
      </c>
      <c r="C13" s="17">
        <f>_xlfn.XLOOKUP(A13,'Raw Data'!$B$2:$B$29,'Raw Data'!$J$2:$J$29)</f>
        <v>360</v>
      </c>
      <c r="D13" s="18">
        <f t="shared" si="0"/>
        <v>2.36608609924417</v>
      </c>
      <c r="E13">
        <f t="shared" si="1"/>
        <v>12</v>
      </c>
      <c r="H13" s="19"/>
      <c r="I13" s="19"/>
    </row>
    <row r="14" spans="1:9">
      <c r="A14" s="10" t="s">
        <v>26</v>
      </c>
      <c r="B14" s="17">
        <v>1687</v>
      </c>
      <c r="C14" s="17">
        <f>_xlfn.XLOOKUP(A14,'Raw Data'!$B$2:$B$29,'Raw Data'!$J$2:$J$29)</f>
        <v>35</v>
      </c>
      <c r="D14" s="18">
        <f t="shared" si="0"/>
        <v>2.0746887966805</v>
      </c>
      <c r="E14">
        <f t="shared" si="1"/>
        <v>13</v>
      </c>
      <c r="H14" s="19"/>
      <c r="I14" s="19"/>
    </row>
    <row r="15" spans="1:9">
      <c r="A15" s="10" t="s">
        <v>14</v>
      </c>
      <c r="B15" s="17">
        <v>61801</v>
      </c>
      <c r="C15" s="17">
        <f>_xlfn.XLOOKUP(A15,'Raw Data'!$B$2:$B$29,'Raw Data'!$J$2:$J$29)</f>
        <v>864</v>
      </c>
      <c r="D15" s="18">
        <f t="shared" si="0"/>
        <v>1.39803563049142</v>
      </c>
      <c r="E15">
        <f t="shared" si="1"/>
        <v>14</v>
      </c>
      <c r="H15" s="19"/>
      <c r="I15" s="19"/>
    </row>
    <row r="16" spans="1:9">
      <c r="A16" s="10" t="s">
        <v>30</v>
      </c>
      <c r="B16" s="17">
        <v>14695</v>
      </c>
      <c r="C16" s="17">
        <f>_xlfn.XLOOKUP(A16,'Raw Data'!$B$2:$B$29,'Raw Data'!$J$2:$J$29)</f>
        <v>182</v>
      </c>
      <c r="D16" s="18">
        <f t="shared" si="0"/>
        <v>1.23851650221164</v>
      </c>
      <c r="E16">
        <f t="shared" si="1"/>
        <v>15</v>
      </c>
      <c r="H16" s="19"/>
      <c r="I16" s="19"/>
    </row>
    <row r="17" spans="1:9">
      <c r="A17" s="10" t="s">
        <v>36</v>
      </c>
      <c r="B17" s="17">
        <v>114144</v>
      </c>
      <c r="C17" s="17">
        <f>_xlfn.XLOOKUP(A17,'Raw Data'!$B$2:$B$29,'Raw Data'!$J$2:$J$29)</f>
        <v>1392</v>
      </c>
      <c r="D17" s="18">
        <f t="shared" si="0"/>
        <v>1.21951219512195</v>
      </c>
      <c r="E17">
        <f t="shared" si="1"/>
        <v>16</v>
      </c>
      <c r="H17" s="19"/>
      <c r="I17" s="19"/>
    </row>
    <row r="18" spans="1:9">
      <c r="A18" s="10" t="s">
        <v>13</v>
      </c>
      <c r="B18" s="17">
        <v>17714</v>
      </c>
      <c r="C18" s="17">
        <f>_xlfn.XLOOKUP(A18,'Raw Data'!$B$2:$B$29,'Raw Data'!$J$2:$J$29)</f>
        <v>196</v>
      </c>
      <c r="D18" s="18">
        <f t="shared" si="0"/>
        <v>1.10646945918483</v>
      </c>
      <c r="E18">
        <f t="shared" si="1"/>
        <v>17</v>
      </c>
      <c r="H18" s="19"/>
      <c r="I18" s="19"/>
    </row>
    <row r="19" spans="1:9">
      <c r="A19" s="10" t="s">
        <v>17</v>
      </c>
      <c r="B19" s="17">
        <v>34369</v>
      </c>
      <c r="C19" s="17">
        <f>_xlfn.XLOOKUP(A19,'Raw Data'!$B$2:$B$29,'Raw Data'!$J$2:$J$29)</f>
        <v>374</v>
      </c>
      <c r="D19" s="18">
        <f t="shared" si="0"/>
        <v>1.08818993860747</v>
      </c>
      <c r="E19">
        <f t="shared" si="1"/>
        <v>18</v>
      </c>
      <c r="H19" s="19"/>
      <c r="I19" s="19"/>
    </row>
    <row r="20" spans="1:9">
      <c r="A20" s="10" t="s">
        <v>31</v>
      </c>
      <c r="B20" s="17">
        <v>39907</v>
      </c>
      <c r="C20" s="17">
        <f>_xlfn.XLOOKUP(A20,'Raw Data'!$B$2:$B$29,'Raw Data'!$J$2:$J$29)</f>
        <v>398</v>
      </c>
      <c r="D20" s="18">
        <f t="shared" si="0"/>
        <v>0.997318766131255</v>
      </c>
      <c r="E20">
        <f t="shared" si="1"/>
        <v>19</v>
      </c>
      <c r="H20" s="19"/>
      <c r="I20" s="19"/>
    </row>
    <row r="21" spans="1:9">
      <c r="A21" s="10" t="s">
        <v>37</v>
      </c>
      <c r="B21" s="17">
        <v>5728</v>
      </c>
      <c r="C21" s="17">
        <f>_xlfn.XLOOKUP(A21,'Raw Data'!$B$2:$B$29,'Raw Data'!$J$2:$J$29)</f>
        <v>57</v>
      </c>
      <c r="D21" s="18">
        <f t="shared" si="0"/>
        <v>0.995111731843575</v>
      </c>
      <c r="E21">
        <f t="shared" si="1"/>
        <v>20</v>
      </c>
      <c r="H21" s="19"/>
      <c r="I21" s="19"/>
    </row>
    <row r="22" spans="1:9">
      <c r="A22" s="10" t="s">
        <v>32</v>
      </c>
      <c r="B22" s="17">
        <v>329</v>
      </c>
      <c r="C22" s="17">
        <f>_xlfn.XLOOKUP(A22,'Raw Data'!$B$2:$B$29,'Raw Data'!$J$2:$J$29)</f>
        <v>3</v>
      </c>
      <c r="D22" s="18">
        <f t="shared" si="0"/>
        <v>0.911854103343465</v>
      </c>
      <c r="E22">
        <f t="shared" si="1"/>
        <v>21</v>
      </c>
      <c r="H22" s="19"/>
      <c r="I22" s="19"/>
    </row>
    <row r="23" spans="1:9">
      <c r="A23" s="10" t="s">
        <v>19</v>
      </c>
      <c r="B23" s="17">
        <v>3700</v>
      </c>
      <c r="C23" s="17">
        <f>_xlfn.XLOOKUP(A23,'Raw Data'!$B$2:$B$29,'Raw Data'!$J$2:$J$29)</f>
        <v>30</v>
      </c>
      <c r="D23" s="18">
        <f t="shared" si="0"/>
        <v>0.810810810810811</v>
      </c>
      <c r="E23">
        <f t="shared" si="1"/>
        <v>22</v>
      </c>
      <c r="H23" s="19"/>
      <c r="I23" s="19"/>
    </row>
    <row r="24" spans="1:9">
      <c r="A24" s="10" t="s">
        <v>23</v>
      </c>
      <c r="B24" s="17">
        <v>42472</v>
      </c>
      <c r="C24" s="17">
        <f>_xlfn.XLOOKUP(A24,'Raw Data'!$B$2:$B$29,'Raw Data'!$J$2:$J$29)</f>
        <v>344</v>
      </c>
      <c r="D24" s="18">
        <f t="shared" si="0"/>
        <v>0.809945375776982</v>
      </c>
      <c r="E24">
        <f t="shared" si="1"/>
        <v>23</v>
      </c>
      <c r="H24" s="19"/>
      <c r="I24" s="19"/>
    </row>
    <row r="25" spans="1:9">
      <c r="A25" s="10" t="s">
        <v>35</v>
      </c>
      <c r="B25" s="17">
        <v>2058</v>
      </c>
      <c r="C25" s="17">
        <f>_xlfn.XLOOKUP(A25,'Raw Data'!$B$2:$B$29,'Raw Data'!$J$2:$J$29)</f>
        <v>10</v>
      </c>
      <c r="D25" s="18">
        <f t="shared" si="0"/>
        <v>0.485908649173955</v>
      </c>
      <c r="E25">
        <f t="shared" si="1"/>
        <v>24</v>
      </c>
      <c r="H25" s="19"/>
      <c r="I25" s="19"/>
    </row>
    <row r="26" spans="1:9">
      <c r="A26" s="10" t="s">
        <v>25</v>
      </c>
      <c r="B26" s="17">
        <v>1621</v>
      </c>
      <c r="C26" s="17">
        <f>_xlfn.XLOOKUP(A26,'Raw Data'!$B$2:$B$29,'Raw Data'!$J$2:$J$29)</f>
        <v>5</v>
      </c>
      <c r="D26" s="18">
        <f t="shared" si="0"/>
        <v>0.308451573103023</v>
      </c>
      <c r="E26">
        <f t="shared" si="1"/>
        <v>25</v>
      </c>
      <c r="H26" s="19"/>
      <c r="I26" s="19"/>
    </row>
    <row r="27" spans="1:9">
      <c r="A27" s="10" t="s">
        <v>38</v>
      </c>
      <c r="B27" s="17">
        <v>48817</v>
      </c>
      <c r="C27" s="17">
        <f>_xlfn.XLOOKUP(A27,'Raw Data'!$B$2:$B$29,'Raw Data'!$J$2:$J$29)</f>
        <v>147</v>
      </c>
      <c r="D27" s="18">
        <f t="shared" si="0"/>
        <v>0.301124608230739</v>
      </c>
      <c r="E27">
        <f t="shared" si="1"/>
        <v>26</v>
      </c>
      <c r="H27" s="19"/>
      <c r="I27" s="19"/>
    </row>
    <row r="28" spans="1:9">
      <c r="A28" s="10" t="s">
        <v>28</v>
      </c>
      <c r="B28" s="17">
        <v>1091</v>
      </c>
      <c r="C28" s="17">
        <f>_xlfn.XLOOKUP(A28,'Raw Data'!$B$2:$B$29,'Raw Data'!$J$2:$J$29)</f>
        <v>2</v>
      </c>
      <c r="D28" s="18">
        <f t="shared" si="0"/>
        <v>0.183318056828598</v>
      </c>
      <c r="E28">
        <f t="shared" si="1"/>
        <v>27</v>
      </c>
      <c r="H28" s="19"/>
      <c r="I28" s="19"/>
    </row>
    <row r="29" spans="1:9">
      <c r="A29" s="10" t="s">
        <v>20</v>
      </c>
      <c r="B29" s="17">
        <v>19523</v>
      </c>
      <c r="C29" s="17">
        <f>_xlfn.XLOOKUP(A29,'Raw Data'!$B$2:$B$29,'Raw Data'!$J$2:$J$29)</f>
        <v>16</v>
      </c>
      <c r="D29" s="18">
        <f t="shared" si="0"/>
        <v>0.0819546176304871</v>
      </c>
      <c r="E29">
        <f t="shared" si="1"/>
        <v>28</v>
      </c>
      <c r="H29" s="19"/>
      <c r="I29" s="19"/>
    </row>
    <row r="30" spans="1:9">
      <c r="H30" s="19"/>
      <c r="I30" s="19"/>
    </row>
  </sheetData>
  <autoFilter xmlns:etc="http://www.wps.cn/officeDocument/2017/etCustomData" ref="A1:D29" etc:filterBottomFollowUsedRange="0">
    <sortState ref="A1:D29">
      <sortCondition ref="D1" descending="1"/>
    </sortState>
    <extLst/>
  </autoFilter>
  <conditionalFormatting sqref="B2:B29">
    <cfRule type="dataBar" priority="3">
      <dataBar>
        <cfvo type="min"/>
        <cfvo type="max"/>
        <color rgb="FF63C384"/>
      </dataBar>
      <extLst>
        <ext xmlns:x14="http://schemas.microsoft.com/office/spreadsheetml/2009/9/main" uri="{B025F937-C7B1-47D3-B67F-A62EFF666E3E}">
          <x14:id>{f23dde54-8349-40aa-b011-4bb9e75831eb}</x14:id>
        </ext>
      </extLst>
    </cfRule>
  </conditionalFormatting>
  <conditionalFormatting sqref="C2:C29">
    <cfRule type="dataBar" priority="2">
      <dataBar>
        <cfvo type="min"/>
        <cfvo type="max"/>
        <color rgb="FFFF555A"/>
      </dataBar>
      <extLst>
        <ext xmlns:x14="http://schemas.microsoft.com/office/spreadsheetml/2009/9/main" uri="{B025F937-C7B1-47D3-B67F-A62EFF666E3E}">
          <x14:id>{14042023-021f-4277-9425-e86b9ccc968f}</x14:id>
        </ext>
      </extLst>
    </cfRule>
  </conditionalFormatting>
  <conditionalFormatting sqref="E2:E29">
    <cfRule type="colorScale" priority="1">
      <colorScale>
        <cfvo type="min"/>
        <cfvo type="percentile" val="50"/>
        <cfvo type="max"/>
        <color rgb="FFF8696B"/>
        <color rgb="FFFFEB84"/>
        <color rgb="FF63BE7B"/>
      </colorScale>
    </cfRule>
  </conditionalFormatting>
  <pageMargins left="0.7" right="0.7" top="0.75" bottom="0.75" header="0.3" footer="0.3"/>
  <headerFooter/>
  <extLst>
    <ext xmlns:x14="http://schemas.microsoft.com/office/spreadsheetml/2009/9/main" uri="{78C0D931-6437-407d-A8EE-F0AAD7539E65}">
      <x14:conditionalFormattings>
        <x14:conditionalFormatting xmlns:xm="http://schemas.microsoft.com/office/excel/2006/main">
          <x14:cfRule type="dataBar" id="{f23dde54-8349-40aa-b011-4bb9e75831eb}">
            <x14:dataBar minLength="0" maxLength="100" border="1" negativeBarBorderColorSameAsPositive="0">
              <x14:cfvo type="autoMin"/>
              <x14:cfvo type="autoMax"/>
              <x14:borderColor rgb="FF63C384"/>
              <x14:negativeFillColor rgb="FFFF0000"/>
              <x14:negativeBorderColor rgb="FFFF0000"/>
              <x14:axisColor rgb="FF000000"/>
            </x14:dataBar>
          </x14:cfRule>
          <xm:sqref>B2:B29</xm:sqref>
        </x14:conditionalFormatting>
        <x14:conditionalFormatting xmlns:xm="http://schemas.microsoft.com/office/excel/2006/main">
          <x14:cfRule type="dataBar" id="{14042023-021f-4277-9425-e86b9ccc968f}">
            <x14:dataBar minLength="0" maxLength="100" border="1" negativeBarBorderColorSameAsPositive="0">
              <x14:cfvo type="autoMin"/>
              <x14:cfvo type="autoMax"/>
              <x14:borderColor rgb="FFFF555A"/>
              <x14:negativeFillColor rgb="FFFF0000"/>
              <x14:negativeBorderColor rgb="FFFF0000"/>
              <x14:axisColor rgb="FF000000"/>
            </x14:dataBar>
          </x14:cfRule>
          <xm:sqref>C2:C29</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E29"/>
  <sheetViews>
    <sheetView showGridLines="0" tabSelected="1" zoomScale="88" zoomScaleNormal="88" workbookViewId="0">
      <selection activeCell="N20" sqref="N20"/>
    </sheetView>
  </sheetViews>
  <sheetFormatPr defaultColWidth="9" defaultRowHeight="14.4" outlineLevelCol="4"/>
  <cols>
    <col min="1" max="1" width="8.88888888888889" style="7"/>
    <col min="2" max="2" width="20.1111111111111" customWidth="1"/>
    <col min="3" max="3" width="11.3333333333333" style="7" customWidth="1"/>
    <col min="4" max="4" width="8.88888888888889" style="7"/>
    <col min="5" max="5" width="11.4444444444444" style="7" customWidth="1"/>
  </cols>
  <sheetData>
    <row r="1" spans="1:5">
      <c r="A1" s="8" t="s">
        <v>44</v>
      </c>
      <c r="B1" s="8" t="s">
        <v>39</v>
      </c>
      <c r="C1" s="8" t="s">
        <v>45</v>
      </c>
      <c r="D1" s="8" t="s">
        <v>46</v>
      </c>
      <c r="E1" s="8" t="s">
        <v>47</v>
      </c>
    </row>
    <row r="2" spans="1:5">
      <c r="A2" s="9">
        <v>11</v>
      </c>
      <c r="B2" s="10" t="str">
        <f>_xlfn.XLOOKUP(A2,'Raw Data'!A$2:A$29,'Raw Data'!B$2:B$29)</f>
        <v>Karnataka</v>
      </c>
      <c r="C2" s="9">
        <f>_xlfn.XLOOKUP(B2,'Raw Data'!B12:B30,'Raw Data'!J12:J30)</f>
        <v>6325</v>
      </c>
      <c r="D2" s="9">
        <f>RANK(C2,$C$2:$C$29,0)</f>
        <v>1</v>
      </c>
      <c r="E2" s="11">
        <f>C2/SUM($C$2:$C$29)</f>
        <v>0.345458517668906</v>
      </c>
    </row>
    <row r="3" spans="1:5">
      <c r="A3" s="9">
        <v>14</v>
      </c>
      <c r="B3" s="10" t="str">
        <f>_xlfn.XLOOKUP(A3,'Raw Data'!A$2:A$29,'Raw Data'!B$2:B$29)</f>
        <v>Maharashtra</v>
      </c>
      <c r="C3" s="9">
        <f>_xlfn.XLOOKUP(B3,'Raw Data'!B15:B42,'Raw Data'!J15:J42)</f>
        <v>2496</v>
      </c>
      <c r="D3" s="9">
        <f t="shared" ref="D3:D29" si="0">RANK(C3,$C$2:$C$29,0)</f>
        <v>2</v>
      </c>
      <c r="E3" s="11">
        <f t="shared" ref="E3:E29" si="1">C3/SUM($C$2:$C$29)</f>
        <v>0.136326396854006</v>
      </c>
    </row>
    <row r="4" spans="1:5">
      <c r="A4" s="9">
        <v>26</v>
      </c>
      <c r="B4" s="10" t="str">
        <f>_xlfn.XLOOKUP(A4,'Raw Data'!A$2:A$29,'Raw Data'!B$2:B$29)</f>
        <v>Uttar Pradesh</v>
      </c>
      <c r="C4" s="9">
        <f>_xlfn.XLOOKUP(B4,'Raw Data'!B27:B54,'Raw Data'!J27:J54)</f>
        <v>1392</v>
      </c>
      <c r="D4" s="9">
        <f t="shared" si="0"/>
        <v>3</v>
      </c>
      <c r="E4" s="11">
        <f t="shared" si="1"/>
        <v>0.0760281828608881</v>
      </c>
    </row>
    <row r="5" spans="1:5">
      <c r="A5" s="9">
        <v>23</v>
      </c>
      <c r="B5" s="10" t="str">
        <f>_xlfn.XLOOKUP(A5,'Raw Data'!A$2:A$29,'Raw Data'!B$2:B$29)</f>
        <v>Tamil Nadu</v>
      </c>
      <c r="C5" s="9">
        <f>_xlfn.XLOOKUP(B5,'Raw Data'!B24:B51,'Raw Data'!J24:J51)</f>
        <v>1274</v>
      </c>
      <c r="D5" s="9">
        <f t="shared" si="0"/>
        <v>4</v>
      </c>
      <c r="E5" s="11">
        <f t="shared" si="1"/>
        <v>0.069583265060899</v>
      </c>
    </row>
    <row r="6" spans="1:5">
      <c r="A6" s="9">
        <v>24</v>
      </c>
      <c r="B6" s="10" t="str">
        <f>_xlfn.XLOOKUP(A6,'Raw Data'!A$2:A$29,'Raw Data'!B$2:B$29)</f>
        <v>Telangana</v>
      </c>
      <c r="C6" s="9">
        <f>_xlfn.XLOOKUP(B6,'Raw Data'!B25:B52,'Raw Data'!J25:J52)</f>
        <v>1225</v>
      </c>
      <c r="D6" s="9">
        <f t="shared" si="0"/>
        <v>5</v>
      </c>
      <c r="E6" s="11">
        <f t="shared" si="1"/>
        <v>0.0669069856354798</v>
      </c>
    </row>
    <row r="7" spans="1:5">
      <c r="A7" s="9">
        <v>4</v>
      </c>
      <c r="B7" s="10" t="str">
        <f>_xlfn.XLOOKUP(A7,'Raw Data'!A$2:A$29,'Raw Data'!B$2:B$29)</f>
        <v>Bihar</v>
      </c>
      <c r="C7" s="9">
        <f>_xlfn.XLOOKUP(B7,'Raw Data'!B5:B30,'Raw Data'!J5:J30)</f>
        <v>864</v>
      </c>
      <c r="D7" s="9">
        <f t="shared" si="0"/>
        <v>6</v>
      </c>
      <c r="E7" s="11">
        <f t="shared" si="1"/>
        <v>0.0471899066033099</v>
      </c>
    </row>
    <row r="8" spans="1:5">
      <c r="A8" s="9">
        <v>12</v>
      </c>
      <c r="B8" s="10" t="str">
        <f>_xlfn.XLOOKUP(A8,'Raw Data'!A$2:A$29,'Raw Data'!B$2:B$29)</f>
        <v>Kerala</v>
      </c>
      <c r="C8" s="9">
        <f>_xlfn.XLOOKUP(B8,'Raw Data'!B13:B30,'Raw Data'!J13:J30)</f>
        <v>732</v>
      </c>
      <c r="D8" s="9">
        <f t="shared" si="0"/>
        <v>7</v>
      </c>
      <c r="E8" s="11">
        <f t="shared" si="1"/>
        <v>0.0399803375389153</v>
      </c>
    </row>
    <row r="9" spans="1:5">
      <c r="A9" s="9">
        <v>19</v>
      </c>
      <c r="B9" s="10" t="str">
        <f>_xlfn.XLOOKUP(A9,'Raw Data'!A$2:A$29,'Raw Data'!B$2:B$29)</f>
        <v>Odisha</v>
      </c>
      <c r="C9" s="9">
        <f>_xlfn.XLOOKUP(B9,'Raw Data'!B20:B47,'Raw Data'!J20:J47)</f>
        <v>719</v>
      </c>
      <c r="D9" s="9">
        <f t="shared" si="0"/>
        <v>8</v>
      </c>
      <c r="E9" s="11">
        <f t="shared" si="1"/>
        <v>0.0392703042219673</v>
      </c>
    </row>
    <row r="10" spans="1:5">
      <c r="A10" s="9">
        <v>1</v>
      </c>
      <c r="B10" s="10" t="str">
        <f>_xlfn.XLOOKUP(A10,'Raw Data'!A$2:A$29,'Raw Data'!B$2:B$29)</f>
        <v>Andhra Pradesh</v>
      </c>
      <c r="C10" s="9">
        <f>_xlfn.XLOOKUP(B10,'Raw Data'!B2:B29,'Raw Data'!J2:J29)</f>
        <v>642</v>
      </c>
      <c r="D10" s="9">
        <f t="shared" si="0"/>
        <v>9</v>
      </c>
      <c r="E10" s="11">
        <f t="shared" si="1"/>
        <v>0.0350647222677372</v>
      </c>
    </row>
    <row r="11" spans="1:5">
      <c r="A11" s="9">
        <v>8</v>
      </c>
      <c r="B11" s="10" t="str">
        <f>_xlfn.XLOOKUP(A11,'Raw Data'!A$2:A$29,'Raw Data'!B$2:B$29)</f>
        <v>Haryana</v>
      </c>
      <c r="C11" s="9">
        <f>_xlfn.XLOOKUP(B11,'Raw Data'!B9:B30,'Raw Data'!J9:J30)</f>
        <v>400</v>
      </c>
      <c r="D11" s="9">
        <f t="shared" si="0"/>
        <v>10</v>
      </c>
      <c r="E11" s="11">
        <f t="shared" si="1"/>
        <v>0.0218471789830138</v>
      </c>
    </row>
    <row r="12" spans="1:5">
      <c r="A12" s="9">
        <v>21</v>
      </c>
      <c r="B12" s="10" t="str">
        <f>_xlfn.XLOOKUP(A12,'Raw Data'!A$2:A$29,'Raw Data'!B$2:B$29)</f>
        <v>Rajasthan</v>
      </c>
      <c r="C12" s="9">
        <f>_xlfn.XLOOKUP(B12,'Raw Data'!B22:B49,'Raw Data'!J22:J49)</f>
        <v>398</v>
      </c>
      <c r="D12" s="9">
        <f t="shared" si="0"/>
        <v>11</v>
      </c>
      <c r="E12" s="11">
        <f t="shared" si="1"/>
        <v>0.0217379430880987</v>
      </c>
    </row>
    <row r="13" spans="1:5">
      <c r="A13" s="9">
        <v>7</v>
      </c>
      <c r="B13" s="10" t="str">
        <f>_xlfn.XLOOKUP(A13,'Raw Data'!A$2:A$29,'Raw Data'!B$2:B$29)</f>
        <v>Gujarat</v>
      </c>
      <c r="C13" s="9">
        <f>_xlfn.XLOOKUP(B13,'Raw Data'!B8:B30,'Raw Data'!J8:J30)</f>
        <v>374</v>
      </c>
      <c r="D13" s="9">
        <f t="shared" si="0"/>
        <v>12</v>
      </c>
      <c r="E13" s="11">
        <f t="shared" si="1"/>
        <v>0.0204271123491179</v>
      </c>
    </row>
    <row r="14" spans="1:5">
      <c r="A14" s="9">
        <v>5</v>
      </c>
      <c r="B14" s="10" t="str">
        <f>_xlfn.XLOOKUP(A14,'Raw Data'!A$2:A$29,'Raw Data'!B$2:B$29)</f>
        <v>Chhattisgarh</v>
      </c>
      <c r="C14" s="9">
        <f>_xlfn.XLOOKUP(B14,'Raw Data'!B6:B30,'Raw Data'!J6:J30)</f>
        <v>360</v>
      </c>
      <c r="D14" s="9">
        <f t="shared" si="0"/>
        <v>13</v>
      </c>
      <c r="E14" s="11">
        <f t="shared" si="1"/>
        <v>0.0196624610847124</v>
      </c>
    </row>
    <row r="15" spans="1:5">
      <c r="A15" s="9">
        <v>13</v>
      </c>
      <c r="B15" s="10" t="str">
        <f>_xlfn.XLOOKUP(A15,'Raw Data'!A$2:A$29,'Raw Data'!B$2:B$29)</f>
        <v>Madhya Pradesh</v>
      </c>
      <c r="C15" s="9">
        <f>_xlfn.XLOOKUP(B15,'Raw Data'!B14:B41,'Raw Data'!J14:J41)</f>
        <v>344</v>
      </c>
      <c r="D15" s="9">
        <f t="shared" si="0"/>
        <v>14</v>
      </c>
      <c r="E15" s="11">
        <f t="shared" si="1"/>
        <v>0.0187885739253919</v>
      </c>
    </row>
    <row r="16" spans="1:5">
      <c r="A16" s="9">
        <v>3</v>
      </c>
      <c r="B16" s="10" t="str">
        <f>_xlfn.XLOOKUP(A16,'Raw Data'!A$2:A$29,'Raw Data'!B$2:B$29)</f>
        <v>Assam</v>
      </c>
      <c r="C16" s="9">
        <f>_xlfn.XLOOKUP(B16,'Raw Data'!B4:B30,'Raw Data'!J4:J30)</f>
        <v>196</v>
      </c>
      <c r="D16" s="9">
        <f t="shared" si="0"/>
        <v>15</v>
      </c>
      <c r="E16" s="11">
        <f t="shared" si="1"/>
        <v>0.0107051177016768</v>
      </c>
    </row>
    <row r="17" spans="1:5">
      <c r="A17" s="9">
        <v>20</v>
      </c>
      <c r="B17" s="10" t="str">
        <f>_xlfn.XLOOKUP(A17,'Raw Data'!A$2:A$29,'Raw Data'!B$2:B$29)</f>
        <v>Punjab</v>
      </c>
      <c r="C17" s="9">
        <f>_xlfn.XLOOKUP(B17,'Raw Data'!B21:B48,'Raw Data'!J21:J48)</f>
        <v>182</v>
      </c>
      <c r="D17" s="9">
        <f t="shared" si="0"/>
        <v>16</v>
      </c>
      <c r="E17" s="11">
        <f t="shared" si="1"/>
        <v>0.00994046643727129</v>
      </c>
    </row>
    <row r="18" spans="1:5">
      <c r="A18" s="9">
        <v>28</v>
      </c>
      <c r="B18" s="10" t="str">
        <f>_xlfn.XLOOKUP(A18,'Raw Data'!A$2:A$29,'Raw Data'!B$2:B$29)</f>
        <v>West Bengal</v>
      </c>
      <c r="C18" s="9">
        <f>_xlfn.XLOOKUP(B18,'Raw Data'!B29:B56,'Raw Data'!J29:J56)</f>
        <v>147</v>
      </c>
      <c r="D18" s="9">
        <f t="shared" si="0"/>
        <v>17</v>
      </c>
      <c r="E18" s="11">
        <f t="shared" si="1"/>
        <v>0.00802883827625758</v>
      </c>
    </row>
    <row r="19" spans="1:5">
      <c r="A19" s="9">
        <v>27</v>
      </c>
      <c r="B19" s="10" t="str">
        <f>_xlfn.XLOOKUP(A19,'Raw Data'!A$2:A$29,'Raw Data'!B$2:B$29)</f>
        <v>Uttarakhand</v>
      </c>
      <c r="C19" s="9">
        <f>_xlfn.XLOOKUP(B19,'Raw Data'!B28:B55,'Raw Data'!J28:J55)</f>
        <v>57</v>
      </c>
      <c r="D19" s="9">
        <f t="shared" si="0"/>
        <v>18</v>
      </c>
      <c r="E19" s="11">
        <f t="shared" si="1"/>
        <v>0.00311322300507947</v>
      </c>
    </row>
    <row r="20" spans="1:5">
      <c r="A20" s="9">
        <v>16</v>
      </c>
      <c r="B20" s="10" t="str">
        <f>_xlfn.XLOOKUP(A20,'Raw Data'!A$2:A$29,'Raw Data'!B$2:B$29)</f>
        <v>Meghalaya</v>
      </c>
      <c r="C20" s="9">
        <f>_xlfn.XLOOKUP(B20,'Raw Data'!B17:B44,'Raw Data'!J17:J44)</f>
        <v>35</v>
      </c>
      <c r="D20" s="9">
        <f t="shared" si="0"/>
        <v>19</v>
      </c>
      <c r="E20" s="11">
        <f t="shared" si="1"/>
        <v>0.00191162816101371</v>
      </c>
    </row>
    <row r="21" spans="1:5">
      <c r="A21" s="9">
        <v>17</v>
      </c>
      <c r="B21" s="10" t="str">
        <f>_xlfn.XLOOKUP(A21,'Raw Data'!A$2:A$29,'Raw Data'!B$2:B$29)</f>
        <v>Mizoram</v>
      </c>
      <c r="C21" s="9">
        <f>_xlfn.XLOOKUP(B21,'Raw Data'!B18:B45,'Raw Data'!J18:J45)</f>
        <v>33</v>
      </c>
      <c r="D21" s="9">
        <f t="shared" si="0"/>
        <v>20</v>
      </c>
      <c r="E21" s="11">
        <f t="shared" si="1"/>
        <v>0.00180239226609864</v>
      </c>
    </row>
    <row r="22" spans="1:5">
      <c r="A22" s="9">
        <v>9</v>
      </c>
      <c r="B22" s="10" t="str">
        <f>_xlfn.XLOOKUP(A22,'Raw Data'!A$2:A$29,'Raw Data'!B$2:B$29)</f>
        <v>Himachal Pradesh</v>
      </c>
      <c r="C22" s="9">
        <f>_xlfn.XLOOKUP(B22,'Raw Data'!B10:B30,'Raw Data'!J10:J30)</f>
        <v>30</v>
      </c>
      <c r="D22" s="9">
        <f t="shared" si="0"/>
        <v>21</v>
      </c>
      <c r="E22" s="11">
        <f t="shared" si="1"/>
        <v>0.00163853842372604</v>
      </c>
    </row>
    <row r="23" spans="1:5">
      <c r="A23" s="9">
        <v>2</v>
      </c>
      <c r="B23" s="10" t="str">
        <f>_xlfn.XLOOKUP(A23,'Raw Data'!A$2:A$29,'Raw Data'!B$2:B$29)</f>
        <v>Arunachal Pradesh</v>
      </c>
      <c r="C23" s="9">
        <f>_xlfn.XLOOKUP(B23,'Raw Data'!B3:B30,'Raw Data'!J3:J30)</f>
        <v>25</v>
      </c>
      <c r="D23" s="9">
        <f t="shared" si="0"/>
        <v>22</v>
      </c>
      <c r="E23" s="11">
        <f t="shared" si="1"/>
        <v>0.00136544868643836</v>
      </c>
    </row>
    <row r="24" spans="1:5">
      <c r="A24" s="9">
        <v>6</v>
      </c>
      <c r="B24" s="10" t="str">
        <f>_xlfn.XLOOKUP(A24,'Raw Data'!A$2:A$29,'Raw Data'!B$2:B$29)</f>
        <v>Goa</v>
      </c>
      <c r="C24" s="9">
        <f>_xlfn.XLOOKUP(B24,'Raw Data'!B7:B30,'Raw Data'!J7:J30)</f>
        <v>23</v>
      </c>
      <c r="D24" s="9">
        <f t="shared" si="0"/>
        <v>23</v>
      </c>
      <c r="E24" s="11">
        <f t="shared" si="1"/>
        <v>0.00125621279152329</v>
      </c>
    </row>
    <row r="25" spans="1:5">
      <c r="A25" s="9">
        <v>10</v>
      </c>
      <c r="B25" s="10" t="str">
        <f>_xlfn.XLOOKUP(A25,'Raw Data'!A$2:A$29,'Raw Data'!B$2:B$29)</f>
        <v>Jharkhand</v>
      </c>
      <c r="C25" s="9">
        <f>_xlfn.XLOOKUP(B25,'Raw Data'!B11:B30,'Raw Data'!J11:J30)</f>
        <v>16</v>
      </c>
      <c r="D25" s="9">
        <f t="shared" si="0"/>
        <v>24</v>
      </c>
      <c r="E25" s="11">
        <f t="shared" si="1"/>
        <v>0.000873887159320553</v>
      </c>
    </row>
    <row r="26" spans="1:5">
      <c r="A26" s="9">
        <v>25</v>
      </c>
      <c r="B26" s="10" t="str">
        <f>_xlfn.XLOOKUP(A26,'Raw Data'!A$2:A$29,'Raw Data'!B$2:B$29)</f>
        <v>Tripura</v>
      </c>
      <c r="C26" s="9">
        <f>_xlfn.XLOOKUP(B26,'Raw Data'!B26:B53,'Raw Data'!J26:J53)</f>
        <v>10</v>
      </c>
      <c r="D26" s="9">
        <f t="shared" si="0"/>
        <v>25</v>
      </c>
      <c r="E26" s="11">
        <f t="shared" si="1"/>
        <v>0.000546179474575345</v>
      </c>
    </row>
    <row r="27" spans="1:5">
      <c r="A27" s="9">
        <v>15</v>
      </c>
      <c r="B27" s="10" t="str">
        <f>_xlfn.XLOOKUP(A27,'Raw Data'!A$2:A$29,'Raw Data'!B$2:B$29)</f>
        <v>Manipur</v>
      </c>
      <c r="C27" s="9">
        <f>_xlfn.XLOOKUP(B27,'Raw Data'!B16:B43,'Raw Data'!J16:J43)</f>
        <v>5</v>
      </c>
      <c r="D27" s="9">
        <f t="shared" si="0"/>
        <v>26</v>
      </c>
      <c r="E27" s="11">
        <f t="shared" si="1"/>
        <v>0.000273089737287673</v>
      </c>
    </row>
    <row r="28" spans="1:5">
      <c r="A28" s="9">
        <v>22</v>
      </c>
      <c r="B28" s="10" t="str">
        <f>_xlfn.XLOOKUP(A28,'Raw Data'!A$2:A$29,'Raw Data'!B$2:B$29)</f>
        <v>Sikkim</v>
      </c>
      <c r="C28" s="9">
        <f>_xlfn.XLOOKUP(B28,'Raw Data'!B23:B50,'Raw Data'!J23:J50)</f>
        <v>3</v>
      </c>
      <c r="D28" s="9">
        <f t="shared" si="0"/>
        <v>27</v>
      </c>
      <c r="E28" s="11">
        <f t="shared" si="1"/>
        <v>0.000163853842372604</v>
      </c>
    </row>
    <row r="29" spans="1:5">
      <c r="A29" s="9">
        <v>18</v>
      </c>
      <c r="B29" s="10" t="str">
        <f>_xlfn.XLOOKUP(A29,'Raw Data'!A$2:A$29,'Raw Data'!B$2:B$29)</f>
        <v>Nagaland</v>
      </c>
      <c r="C29" s="9">
        <f>_xlfn.XLOOKUP(B29,'Raw Data'!B19:B46,'Raw Data'!J19:J46)</f>
        <v>2</v>
      </c>
      <c r="D29" s="9">
        <f t="shared" si="0"/>
        <v>28</v>
      </c>
      <c r="E29" s="11">
        <f t="shared" si="1"/>
        <v>0.000109235894915069</v>
      </c>
    </row>
  </sheetData>
  <autoFilter xmlns:etc="http://www.wps.cn/officeDocument/2017/etCustomData" ref="A1:E29" etc:filterBottomFollowUsedRange="0">
    <sortState ref="A1:E29">
      <sortCondition ref="D1:D29"/>
    </sortState>
    <extLst/>
  </autoFilter>
  <conditionalFormatting sqref="D2:D29">
    <cfRule type="colorScale" priority="2">
      <colorScale>
        <cfvo type="min"/>
        <cfvo type="percentile" val="50"/>
        <cfvo type="max"/>
        <color rgb="FFF8696B"/>
        <color rgb="FFFFEB84"/>
        <color rgb="FF63BE7B"/>
      </colorScale>
    </cfRule>
  </conditionalFormatting>
  <conditionalFormatting sqref="E2:E29">
    <cfRule type="dataBar" priority="1">
      <dataBar>
        <cfvo type="min"/>
        <cfvo type="max"/>
        <color rgb="FFFF555A"/>
      </dataBar>
      <extLst>
        <ext xmlns:x14="http://schemas.microsoft.com/office/spreadsheetml/2009/9/main" uri="{B025F937-C7B1-47D3-B67F-A62EFF666E3E}">
          <x14:id>{b1bc17c8-1ff6-4287-8a05-db7ff5e26c03}</x14:id>
        </ext>
      </extLst>
    </cfRule>
  </conditionalFormatting>
  <pageMargins left="0.7" right="0.7" top="0.75" bottom="0.75" header="0.3" footer="0.3"/>
  <headerFooter/>
  <extLst>
    <ext xmlns:x14="http://schemas.microsoft.com/office/spreadsheetml/2009/9/main" uri="{78C0D931-6437-407d-A8EE-F0AAD7539E65}">
      <x14:conditionalFormattings>
        <x14:conditionalFormatting xmlns:xm="http://schemas.microsoft.com/office/excel/2006/main">
          <x14:cfRule type="dataBar" id="{b1bc17c8-1ff6-4287-8a05-db7ff5e26c03}">
            <x14:dataBar minLength="0" maxLength="100" border="1" negativeBarBorderColorSameAsPositive="0">
              <x14:cfvo type="autoMin"/>
              <x14:cfvo type="autoMax"/>
              <x14:borderColor rgb="FFFF555A"/>
              <x14:negativeFillColor rgb="FFFF0000"/>
              <x14:negativeBorderColor rgb="FFFF0000"/>
              <x14:axisColor rgb="FF000000"/>
            </x14:dataBar>
          </x14:cfRule>
          <xm:sqref>E2:E29</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2:D30"/>
  <sheetViews>
    <sheetView topLeftCell="A21" workbookViewId="0">
      <selection activeCell="A30" sqref="A30"/>
    </sheetView>
  </sheetViews>
  <sheetFormatPr defaultColWidth="65" defaultRowHeight="14.4" outlineLevelCol="3"/>
  <cols>
    <col min="1" max="16384" width="65" style="1"/>
  </cols>
  <sheetData>
    <row r="2" ht="57.6" spans="1:3">
      <c r="A2" s="1" t="s">
        <v>48</v>
      </c>
      <c r="C2" s="2" t="s">
        <v>49</v>
      </c>
    </row>
    <row r="3" spans="1:3">
      <c r="C3"/>
    </row>
    <row r="4" ht="43.2" spans="1:3">
      <c r="A4" s="1" t="s">
        <v>50</v>
      </c>
      <c r="C4" s="2" t="s">
        <v>51</v>
      </c>
    </row>
    <row r="5" spans="1:3">
      <c r="C5"/>
    </row>
    <row r="6" ht="28.8" spans="1:3">
      <c r="A6" s="1" t="s">
        <v>52</v>
      </c>
      <c r="C6" s="3" t="s">
        <v>53</v>
      </c>
    </row>
    <row r="7" spans="1:3">
      <c r="C7" s="3" t="s">
        <v>54</v>
      </c>
    </row>
    <row r="8" spans="1:3">
      <c r="A8" s="1" t="s">
        <v>55</v>
      </c>
      <c r="C8" s="3" t="s">
        <v>56</v>
      </c>
    </row>
    <row r="9" spans="1:3">
      <c r="A9" s="4"/>
      <c r="C9"/>
    </row>
    <row r="10" ht="28.8" spans="1:3">
      <c r="A10" s="5" t="s">
        <v>57</v>
      </c>
      <c r="C10" s="2" t="s">
        <v>58</v>
      </c>
    </row>
    <row r="11" spans="1:3">
      <c r="C11"/>
    </row>
    <row r="12" ht="28.8" spans="1:3">
      <c r="A12" s="1" t="s">
        <v>59</v>
      </c>
      <c r="C12" s="3" t="s">
        <v>60</v>
      </c>
    </row>
    <row r="13" spans="1:3">
      <c r="C13" s="3" t="s">
        <v>61</v>
      </c>
    </row>
    <row r="14" spans="1:3">
      <c r="C14" s="3" t="s">
        <v>62</v>
      </c>
    </row>
    <row r="15" spans="1:3">
      <c r="C15"/>
    </row>
    <row r="16" spans="1:3">
      <c r="C16" s="2" t="s">
        <v>63</v>
      </c>
    </row>
    <row r="17" spans="1:4">
      <c r="A17" s="1" t="s">
        <v>64</v>
      </c>
      <c r="C17"/>
    </row>
    <row r="18" spans="1:4">
      <c r="A18" s="4"/>
      <c r="C18" s="3" t="s">
        <v>65</v>
      </c>
    </row>
    <row r="19" ht="43.2" spans="1:4">
      <c r="A19" s="5" t="s">
        <v>66</v>
      </c>
      <c r="C19" s="3" t="s">
        <v>67</v>
      </c>
    </row>
    <row r="20" spans="1:4">
      <c r="C20" s="3" t="s">
        <v>68</v>
      </c>
      <c r="D20" s="6"/>
    </row>
    <row r="21" ht="43.2" spans="1:4">
      <c r="A21" s="1" t="s">
        <v>69</v>
      </c>
      <c r="C21" s="3" t="s">
        <v>70</v>
      </c>
    </row>
    <row r="25" ht="86.4" spans="1:4">
      <c r="A25" s="6" t="s">
        <v>71</v>
      </c>
    </row>
    <row r="27" ht="72" spans="1:4">
      <c r="A27" s="1" t="s">
        <v>72</v>
      </c>
    </row>
    <row r="29" ht="57.6" spans="1:4">
      <c r="A29" s="1" t="s">
        <v>73</v>
      </c>
    </row>
    <row r="30" ht="43.2" spans="1:4">
      <c r="A30" s="1" t="s">
        <v>74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Project</vt:lpstr>
      <vt:lpstr>Raw Data</vt:lpstr>
      <vt:lpstr>Crime Rate Per Lakh</vt:lpstr>
      <vt:lpstr>Rank and Contribution</vt:lpstr>
      <vt:lpstr>Notes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Subashini S</dc:creator>
  <cp:lastModifiedBy>HP</cp:lastModifiedBy>
  <dcterms:created xsi:type="dcterms:W3CDTF">2026-05-13T13:35:00Z</dcterms:created>
  <dcterms:modified xsi:type="dcterms:W3CDTF">2026-06-06T15:41:30Z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2A67D3B65956434E8A6C62C1EE8C4C6D_12</vt:lpwstr>
  </property>
  <property fmtid="{D5CDD505-2E9C-101B-9397-08002B2CF9AE}" pid="3" name="KSOProductBuildVer">
    <vt:lpwstr>1033-12.1.0.26372</vt:lpwstr>
  </property>
  <property fmtid="{D5CDD505-2E9C-101B-9397-08002B2CF9AE}" pid="4" name="CalculationRule">
    <vt:i4>0</vt:i4>
  </property>
</Properties>
</file>